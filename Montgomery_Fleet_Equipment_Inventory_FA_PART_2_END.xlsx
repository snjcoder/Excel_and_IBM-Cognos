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e\Documents\notes\"/>
    </mc:Choice>
  </mc:AlternateContent>
  <xr:revisionPtr revIDLastSave="0" documentId="13_ncr:1_{5E5ACE18-CCE9-4670-8072-4B4495644F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Montgomery_Fleet_Equipment_Inve!$A$1:$C$50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6" i="1" l="1"/>
  <c r="B55" i="1"/>
  <c r="B54" i="1"/>
  <c r="B53" i="1"/>
  <c r="B52" i="1"/>
</calcChain>
</file>

<file path=xl/sharedStrings.xml><?xml version="1.0" encoding="utf-8"?>
<sst xmlns="http://schemas.openxmlformats.org/spreadsheetml/2006/main" count="169" uniqueCount="38">
  <si>
    <t>Department</t>
  </si>
  <si>
    <t>Equipment Class</t>
  </si>
  <si>
    <t>Equipment Count</t>
  </si>
  <si>
    <t>Housing and Community Affairs</t>
  </si>
  <si>
    <t>Pick Up Trucks</t>
  </si>
  <si>
    <t>SUV</t>
  </si>
  <si>
    <t>Sedan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</si>
  <si>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</si>
  <si>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</si>
  <si>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</si>
  <si>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</si>
  <si>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</si>
  <si>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</si>
  <si>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</si>
  <si>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</si>
  <si>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</si>
  <si>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</si>
  <si>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</si>
  <si>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</si>
  <si>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</si>
  <si>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</si>
  <si>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</si>
  <si>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</si>
  <si>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</si>
  <si>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</si>
  <si>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</si>
  <si>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</si>
  <si>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</si>
  <si>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</si>
  <si>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</t>
  </si>
  <si>
    <t>AVERAGE</t>
  </si>
  <si>
    <t>MIN</t>
  </si>
  <si>
    <t>MAX</t>
  </si>
  <si>
    <t>COUNT</t>
  </si>
  <si>
    <t>Sum of Equipment Count</t>
  </si>
  <si>
    <t>Grand Total</t>
  </si>
  <si>
    <t>Transportation Total</t>
  </si>
  <si>
    <t>CUV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</si>
</sst>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49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" formatCode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8.905517361112" createdVersion="8" refreshedVersion="8" minRefreshableVersion="3" recordCount="49" xr:uid="{A5C35718-8363-473A-B610-F73C28634F2A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4D74A-F842-45E2-BD02-5778CA1C75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/>
  <pivotFields count="3">
    <pivotField axis="axisRow" compact="0" outline="0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1">
    <field x="0"/>
  </rowFields>
  <rowItems count="13">
    <i>
      <x v="4"/>
    </i>
    <i>
      <x v="6"/>
    </i>
    <i>
      <x v="1"/>
    </i>
    <i>
      <x v="9"/>
    </i>
    <i>
      <x v="2"/>
    </i>
    <i>
      <x v="10"/>
    </i>
    <i>
      <x v="7"/>
    </i>
    <i>
      <x/>
    </i>
    <i>
      <x v="3"/>
    </i>
    <i>
      <x v="8"/>
    </i>
    <i>
      <x v="5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2D668-D839-43A2-94DE-DA918E5D1F5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5" firstHeaderRow="1" firstDataRow="1" firstDataCol="2"/>
  <pivotFields count="3">
    <pivotField axis="axisRow" compact="0" outline="0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0"/>
    <field x="1"/>
  </rowFields>
  <rowItems count="22"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29C65-4CDC-48A0-892F-F805F5B34B6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1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compact="0" outline="0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1"/>
    <field x="0"/>
  </rowFields>
  <rowItems count="18">
    <i>
      <x/>
      <x v="5"/>
    </i>
    <i r="1">
      <x v="11"/>
    </i>
    <i r="1">
      <x v="10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79196B-83EF-419C-BAE7-53769C48F958}" name="Table1" displayName="Table1" ref="A1:C50" totalsRowShown="0">
  <tableColumns count="3">
    <tableColumn id="1" xr3:uid="{B98C06C7-26FF-45F0-8862-744D418F061C}" name="Department" dataDxfId="2"/>
    <tableColumn id="2" xr3:uid="{F0A25752-8E52-4C0E-BC86-BDEE5754F0BC}" name="Equipment Class" dataDxfId="1"/>
    <tableColumn id="3" xr3:uid="{FBDE1914-74E4-4468-A9AB-FFB385DC12CC}" name="Equipment Count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C56"/>
  <sheetViews>
    <sheetView tabSelected="1" workbookViewId="0">
      <selection activeCell="J12" sqref="J12"/>
    </sheetView>
  </sheetViews>
  <sheetFormatPr defaultRowHeight="14.4" x14ac:dyDescent="0.3"/>
  <cols>
    <col min="1" max="1" width="26.88671875" style="2" bestFit="1" customWidth="1"/>
    <col min="2" max="2" width="24.109375" bestFit="1" customWidth="1"/>
    <col min="3" max="3" width="18.109375" style="3" bestFit="1" customWidth="1"/>
  </cols>
  <sheetData>
    <row r="1" spans="1:3" x14ac:dyDescent="0.3">
      <c r="A1" s="2" t="s">
        <v>0</v>
      </c>
      <c r="B1" t="s">
        <v>1</v>
      </c>
      <c r="C1" s="3" t="s">
        <v>2</v>
      </c>
    </row>
    <row r="2" spans="1:3" x14ac:dyDescent="0.3">
      <c r="A2" s="2" t="s">
        <v>3</v>
      </c>
      <c r="B2" s="2" t="s">
        <v>4</v>
      </c>
      <c r="C2" s="3">
        <v>21</v>
      </c>
    </row>
    <row r="3" spans="1:3" x14ac:dyDescent="0.3">
      <c r="A3" s="2" t="s">
        <v>3</v>
      </c>
      <c r="B3" s="2" t="s">
        <v>5</v>
      </c>
      <c r="C3" s="3">
        <v>1</v>
      </c>
    </row>
    <row r="4" spans="1:3" x14ac:dyDescent="0.3">
      <c r="A4" s="2" t="s">
        <v>3</v>
      </c>
      <c r="B4" s="2" t="s">
        <v>6</v>
      </c>
      <c r="C4" s="3">
        <v>23</v>
      </c>
    </row>
    <row r="5" spans="1:3" x14ac:dyDescent="0.3">
      <c r="A5" s="2" t="s">
        <v>7</v>
      </c>
      <c r="B5" s="2" t="s">
        <v>6</v>
      </c>
      <c r="C5" s="3">
        <v>2</v>
      </c>
    </row>
    <row r="6" spans="1:3" x14ac:dyDescent="0.3">
      <c r="A6" s="2" t="s">
        <v>8</v>
      </c>
      <c r="B6" s="2" t="s">
        <v>4</v>
      </c>
      <c r="C6" s="3">
        <v>3</v>
      </c>
    </row>
    <row r="7" spans="1:3" x14ac:dyDescent="0.3">
      <c r="A7" s="2" t="s">
        <v>8</v>
      </c>
      <c r="B7" s="2" t="s">
        <v>9</v>
      </c>
      <c r="C7" s="3">
        <v>2</v>
      </c>
    </row>
    <row r="8" spans="1:3" x14ac:dyDescent="0.3">
      <c r="A8" s="2" t="s">
        <v>8</v>
      </c>
      <c r="B8" s="2" t="s">
        <v>10</v>
      </c>
      <c r="C8" s="3">
        <v>1</v>
      </c>
    </row>
    <row r="9" spans="1:3" x14ac:dyDescent="0.3">
      <c r="A9" s="2" t="s">
        <v>11</v>
      </c>
      <c r="B9" s="2" t="s">
        <v>9</v>
      </c>
      <c r="C9" s="3">
        <v>2</v>
      </c>
    </row>
    <row r="10" spans="1:3" x14ac:dyDescent="0.3">
      <c r="A10" s="2" t="s">
        <v>11</v>
      </c>
      <c r="B10" s="2" t="s">
        <v>12</v>
      </c>
      <c r="C10" s="3">
        <v>42</v>
      </c>
    </row>
    <row r="11" spans="1:3" x14ac:dyDescent="0.3">
      <c r="A11" s="2" t="s">
        <v>11</v>
      </c>
      <c r="B11" s="2" t="s">
        <v>5</v>
      </c>
      <c r="C11" s="3">
        <v>1</v>
      </c>
    </row>
    <row r="12" spans="1:3" x14ac:dyDescent="0.3">
      <c r="A12" s="2" t="s">
        <v>11</v>
      </c>
      <c r="B12" s="2" t="s">
        <v>6</v>
      </c>
      <c r="C12" s="3">
        <v>11</v>
      </c>
    </row>
    <row r="13" spans="1:3" x14ac:dyDescent="0.3">
      <c r="A13" s="2" t="s">
        <v>13</v>
      </c>
      <c r="B13" s="2" t="s">
        <v>5</v>
      </c>
      <c r="C13" s="3">
        <v>1</v>
      </c>
    </row>
    <row r="14" spans="1:3" x14ac:dyDescent="0.3">
      <c r="A14" s="2" t="s">
        <v>14</v>
      </c>
      <c r="B14" s="2" t="s">
        <v>15</v>
      </c>
      <c r="C14" s="3">
        <v>9</v>
      </c>
    </row>
    <row r="15" spans="1:3" x14ac:dyDescent="0.3">
      <c r="A15" s="2" t="s">
        <v>14</v>
      </c>
      <c r="B15" s="2" t="s">
        <v>5</v>
      </c>
      <c r="C15" s="3">
        <v>27</v>
      </c>
    </row>
    <row r="16" spans="1:3" x14ac:dyDescent="0.3">
      <c r="A16" s="2" t="s">
        <v>14</v>
      </c>
      <c r="B16" s="2" t="s">
        <v>4</v>
      </c>
      <c r="C16" s="3">
        <v>24</v>
      </c>
    </row>
    <row r="17" spans="1:3" x14ac:dyDescent="0.3">
      <c r="A17" s="2" t="s">
        <v>14</v>
      </c>
      <c r="B17" s="2" t="s">
        <v>9</v>
      </c>
      <c r="C17" s="3">
        <v>1</v>
      </c>
    </row>
    <row r="18" spans="1:3" x14ac:dyDescent="0.3">
      <c r="A18" s="2" t="s">
        <v>14</v>
      </c>
      <c r="B18" s="2" t="s">
        <v>6</v>
      </c>
      <c r="C18" s="3">
        <v>48</v>
      </c>
    </row>
    <row r="19" spans="1:3" x14ac:dyDescent="0.3">
      <c r="A19" s="2" t="s">
        <v>16</v>
      </c>
      <c r="B19" s="2" t="s">
        <v>9</v>
      </c>
      <c r="C19" s="3">
        <v>1</v>
      </c>
    </row>
    <row r="20" spans="1:3" x14ac:dyDescent="0.3">
      <c r="A20" s="2" t="s">
        <v>17</v>
      </c>
      <c r="B20" s="2" t="s">
        <v>6</v>
      </c>
      <c r="C20" s="3">
        <v>6</v>
      </c>
    </row>
    <row r="21" spans="1:3" x14ac:dyDescent="0.3">
      <c r="A21" s="2" t="s">
        <v>17</v>
      </c>
      <c r="B21" s="2" t="s">
        <v>4</v>
      </c>
      <c r="C21" s="3">
        <v>5</v>
      </c>
    </row>
    <row r="22" spans="1:3" x14ac:dyDescent="0.3">
      <c r="A22" s="2" t="s">
        <v>17</v>
      </c>
      <c r="B22" s="2" t="s">
        <v>5</v>
      </c>
      <c r="C22" s="3">
        <v>2</v>
      </c>
    </row>
    <row r="23" spans="1:3" x14ac:dyDescent="0.3">
      <c r="A23" s="2" t="s">
        <v>17</v>
      </c>
      <c r="B23" s="2" t="s">
        <v>9</v>
      </c>
      <c r="C23" s="3">
        <v>15</v>
      </c>
    </row>
    <row r="24" spans="1:3" x14ac:dyDescent="0.3">
      <c r="A24" s="2" t="s">
        <v>17</v>
      </c>
      <c r="B24" s="2" t="s">
        <v>18</v>
      </c>
      <c r="C24" s="3">
        <v>7</v>
      </c>
    </row>
    <row r="25" spans="1:3" x14ac:dyDescent="0.3">
      <c r="A25" s="2" t="s">
        <v>19</v>
      </c>
      <c r="B25" s="2" t="s">
        <v>20</v>
      </c>
      <c r="C25" s="3">
        <v>20</v>
      </c>
    </row>
    <row r="26" spans="1:3" x14ac:dyDescent="0.3">
      <c r="A26" s="2" t="s">
        <v>19</v>
      </c>
      <c r="B26" s="2" t="s">
        <v>6</v>
      </c>
      <c r="C26" s="3">
        <v>1</v>
      </c>
    </row>
    <row r="27" spans="1:3" x14ac:dyDescent="0.3">
      <c r="A27" s="2" t="s">
        <v>19</v>
      </c>
      <c r="B27" s="2" t="s">
        <v>10</v>
      </c>
      <c r="C27" s="3">
        <v>1</v>
      </c>
    </row>
    <row r="28" spans="1:3" x14ac:dyDescent="0.3">
      <c r="A28" s="2" t="s">
        <v>19</v>
      </c>
      <c r="B28" s="2" t="s">
        <v>4</v>
      </c>
      <c r="C28" s="3">
        <v>3</v>
      </c>
    </row>
    <row r="29" spans="1:3" x14ac:dyDescent="0.3">
      <c r="A29" s="2" t="s">
        <v>19</v>
      </c>
      <c r="B29" s="2" t="s">
        <v>5</v>
      </c>
      <c r="C29" s="3">
        <v>1</v>
      </c>
    </row>
    <row r="30" spans="1:3" x14ac:dyDescent="0.3">
      <c r="A30" s="2" t="s">
        <v>19</v>
      </c>
      <c r="B30" s="2" t="s">
        <v>21</v>
      </c>
      <c r="C30" s="3">
        <v>8</v>
      </c>
    </row>
    <row r="31" spans="1:3" x14ac:dyDescent="0.3">
      <c r="A31" s="2" t="s">
        <v>19</v>
      </c>
      <c r="B31" s="2" t="s">
        <v>22</v>
      </c>
      <c r="C31" s="3">
        <v>4</v>
      </c>
    </row>
    <row r="32" spans="1:3" x14ac:dyDescent="0.3">
      <c r="A32" s="2" t="s">
        <v>19</v>
      </c>
      <c r="B32" s="2" t="s">
        <v>23</v>
      </c>
      <c r="C32" s="3">
        <v>46</v>
      </c>
    </row>
    <row r="33" spans="1:3" x14ac:dyDescent="0.3">
      <c r="A33" s="2" t="s">
        <v>19</v>
      </c>
      <c r="B33" s="2" t="s">
        <v>24</v>
      </c>
      <c r="C33" s="3">
        <v>1</v>
      </c>
    </row>
    <row r="34" spans="1:3" x14ac:dyDescent="0.3">
      <c r="A34" s="2" t="s">
        <v>25</v>
      </c>
      <c r="B34" s="2" t="s">
        <v>23</v>
      </c>
      <c r="C34" s="3">
        <v>1</v>
      </c>
    </row>
    <row r="35" spans="1:3" x14ac:dyDescent="0.3">
      <c r="A35" s="2" t="s">
        <v>25</v>
      </c>
      <c r="B35" s="2" t="s">
        <v>9</v>
      </c>
      <c r="C35" s="3">
        <v>1</v>
      </c>
    </row>
    <row r="36" spans="1:3" x14ac:dyDescent="0.3">
      <c r="A36" s="2" t="s">
        <v>25</v>
      </c>
      <c r="B36" s="2" t="s">
        <v>5</v>
      </c>
      <c r="C36" s="3">
        <v>1</v>
      </c>
    </row>
    <row r="37" spans="1:3" x14ac:dyDescent="0.3">
      <c r="A37" s="2" t="s">
        <v>25</v>
      </c>
      <c r="B37" s="2" t="s">
        <v>6</v>
      </c>
      <c r="C37" s="3">
        <v>2</v>
      </c>
    </row>
    <row r="38" spans="1:3" x14ac:dyDescent="0.3">
      <c r="A38" s="2" t="s">
        <v>26</v>
      </c>
      <c r="B38" s="2" t="s">
        <v>4</v>
      </c>
      <c r="C38" s="3">
        <v>1</v>
      </c>
    </row>
    <row r="39" spans="1:3" x14ac:dyDescent="0.3">
      <c r="A39" s="2" t="s">
        <v>26</v>
      </c>
      <c r="B39" s="2" t="s">
        <v>15</v>
      </c>
      <c r="C39" s="3">
        <v>1</v>
      </c>
    </row>
    <row r="40" spans="1:3" x14ac:dyDescent="0.3">
      <c r="A40" s="2" t="s">
        <v>26</v>
      </c>
      <c r="B40" s="2" t="s">
        <v>9</v>
      </c>
      <c r="C40" s="3">
        <v>11</v>
      </c>
    </row>
    <row r="41" spans="1:3" x14ac:dyDescent="0.3">
      <c r="A41" s="2" t="s">
        <v>26</v>
      </c>
      <c r="B41" s="2" t="s">
        <v>5</v>
      </c>
      <c r="C41" s="3">
        <v>3</v>
      </c>
    </row>
    <row r="42" spans="1:3" x14ac:dyDescent="0.3">
      <c r="A42" s="2" t="s">
        <v>27</v>
      </c>
      <c r="B42" s="2" t="s">
        <v>4</v>
      </c>
      <c r="C42" s="3">
        <v>93</v>
      </c>
    </row>
    <row r="43" spans="1:3" x14ac:dyDescent="0.3">
      <c r="A43" s="2" t="s">
        <v>27</v>
      </c>
      <c r="B43" s="2" t="s">
        <v>12</v>
      </c>
      <c r="C43" s="3">
        <v>248</v>
      </c>
    </row>
    <row r="44" spans="1:3" x14ac:dyDescent="0.3">
      <c r="A44" s="2" t="s">
        <v>27</v>
      </c>
      <c r="B44" s="2" t="s">
        <v>28</v>
      </c>
      <c r="C44" s="3">
        <v>379</v>
      </c>
    </row>
    <row r="45" spans="1:3" x14ac:dyDescent="0.3">
      <c r="A45" s="2" t="s">
        <v>27</v>
      </c>
      <c r="B45" s="2" t="s">
        <v>5</v>
      </c>
      <c r="C45" s="3">
        <v>53</v>
      </c>
    </row>
    <row r="46" spans="1:3" x14ac:dyDescent="0.3">
      <c r="A46" s="2" t="s">
        <v>27</v>
      </c>
      <c r="B46" s="2" t="s">
        <v>9</v>
      </c>
      <c r="C46" s="3">
        <v>32</v>
      </c>
    </row>
    <row r="47" spans="1:3" x14ac:dyDescent="0.3">
      <c r="A47" s="2" t="s">
        <v>27</v>
      </c>
      <c r="B47" s="2" t="s">
        <v>10</v>
      </c>
      <c r="C47" s="3">
        <v>98</v>
      </c>
    </row>
    <row r="48" spans="1:3" x14ac:dyDescent="0.3">
      <c r="A48" s="2" t="s">
        <v>27</v>
      </c>
      <c r="B48" s="2" t="s">
        <v>18</v>
      </c>
      <c r="C48" s="3">
        <v>276</v>
      </c>
    </row>
    <row r="49" spans="1:3" x14ac:dyDescent="0.3">
      <c r="A49" s="2" t="s">
        <v>27</v>
      </c>
      <c r="B49" s="2" t="s">
        <v>15</v>
      </c>
      <c r="C49" s="3">
        <v>5</v>
      </c>
    </row>
    <row r="50" spans="1:3" x14ac:dyDescent="0.3">
      <c r="A50" s="2" t="s">
        <v>27</v>
      </c>
      <c r="B50" s="2" t="s">
        <v>6</v>
      </c>
      <c r="C50" s="3">
        <v>37</v>
      </c>
    </row>
    <row r="52" spans="1:3" x14ac:dyDescent="0.3">
      <c r="A52" s="2" t="s">
        <v>29</v>
      </c>
      <c r="B52">
        <f>SUM(Table1[Equipment Count])</f>
        <v>1582</v>
      </c>
    </row>
    <row r="53" spans="1:3" x14ac:dyDescent="0.3">
      <c r="A53" s="2" t="s">
        <v>30</v>
      </c>
      <c r="B53">
        <f>AVERAGE(Table1[Equipment Count])</f>
        <v>32.285714285714285</v>
      </c>
    </row>
    <row r="54" spans="1:3" x14ac:dyDescent="0.3">
      <c r="A54" s="2" t="s">
        <v>31</v>
      </c>
      <c r="B54">
        <f>MIN(Table1[Equipment Count])</f>
        <v>1</v>
      </c>
    </row>
    <row r="55" spans="1:3" x14ac:dyDescent="0.3">
      <c r="A55" s="2" t="s">
        <v>32</v>
      </c>
      <c r="B55">
        <f>MAX(Table1[Equipment Count])</f>
        <v>379</v>
      </c>
    </row>
    <row r="56" spans="1:3" x14ac:dyDescent="0.3">
      <c r="A56" s="2" t="s">
        <v>33</v>
      </c>
      <c r="B56">
        <f>COUNT(Table1[Equipment Count])</f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F827E-7E55-4D26-B3E4-06109A0C0494}">
  <dimension ref="A3:B16"/>
  <sheetViews>
    <sheetView zoomScaleNormal="100" workbookViewId="0">
      <selection activeCell="B8" sqref="B8"/>
    </sheetView>
  </sheetViews>
  <sheetFormatPr defaultRowHeight="14.4" x14ac:dyDescent="0.3"/>
  <cols>
    <col min="1" max="1" width="26.88671875" bestFit="1" customWidth="1"/>
    <col min="2" max="2" width="22.5546875" bestFit="1" customWidth="1"/>
    <col min="3" max="3" width="22.88671875" bestFit="1" customWidth="1"/>
    <col min="4" max="10" width="2.33203125" bestFit="1" customWidth="1"/>
    <col min="11" max="25" width="3.33203125" bestFit="1" customWidth="1"/>
    <col min="26" max="28" width="4.44140625" bestFit="1" customWidth="1"/>
    <col min="29" max="29" width="11.6640625" bestFit="1" customWidth="1"/>
  </cols>
  <sheetData>
    <row r="3" spans="1:2" x14ac:dyDescent="0.3">
      <c r="A3" s="1" t="s">
        <v>0</v>
      </c>
      <c r="B3" t="s">
        <v>34</v>
      </c>
    </row>
    <row r="4" spans="1:2" x14ac:dyDescent="0.3">
      <c r="A4" t="s">
        <v>13</v>
      </c>
      <c r="B4" s="4">
        <v>1</v>
      </c>
    </row>
    <row r="5" spans="1:2" x14ac:dyDescent="0.3">
      <c r="A5" t="s">
        <v>16</v>
      </c>
      <c r="B5" s="4">
        <v>1</v>
      </c>
    </row>
    <row r="6" spans="1:2" x14ac:dyDescent="0.3">
      <c r="A6" t="s">
        <v>7</v>
      </c>
      <c r="B6" s="4">
        <v>2</v>
      </c>
    </row>
    <row r="7" spans="1:2" x14ac:dyDescent="0.3">
      <c r="A7" t="s">
        <v>25</v>
      </c>
      <c r="B7" s="4">
        <v>5</v>
      </c>
    </row>
    <row r="8" spans="1:2" x14ac:dyDescent="0.3">
      <c r="A8" t="s">
        <v>8</v>
      </c>
      <c r="B8" s="4">
        <v>6</v>
      </c>
    </row>
    <row r="9" spans="1:2" x14ac:dyDescent="0.3">
      <c r="A9" t="s">
        <v>26</v>
      </c>
      <c r="B9" s="4">
        <v>16</v>
      </c>
    </row>
    <row r="10" spans="1:2" x14ac:dyDescent="0.3">
      <c r="A10" t="s">
        <v>17</v>
      </c>
      <c r="B10" s="4">
        <v>35</v>
      </c>
    </row>
    <row r="11" spans="1:2" x14ac:dyDescent="0.3">
      <c r="A11" t="s">
        <v>3</v>
      </c>
      <c r="B11" s="4">
        <v>45</v>
      </c>
    </row>
    <row r="12" spans="1:2" x14ac:dyDescent="0.3">
      <c r="A12" t="s">
        <v>11</v>
      </c>
      <c r="B12" s="4">
        <v>56</v>
      </c>
    </row>
    <row r="13" spans="1:2" x14ac:dyDescent="0.3">
      <c r="A13" t="s">
        <v>19</v>
      </c>
      <c r="B13" s="4">
        <v>85</v>
      </c>
    </row>
    <row r="14" spans="1:2" x14ac:dyDescent="0.3">
      <c r="A14" t="s">
        <v>14</v>
      </c>
      <c r="B14" s="4">
        <v>109</v>
      </c>
    </row>
    <row r="15" spans="1:2" x14ac:dyDescent="0.3">
      <c r="A15" t="s">
        <v>27</v>
      </c>
      <c r="B15" s="4">
        <v>1221</v>
      </c>
    </row>
    <row r="16" spans="1:2" x14ac:dyDescent="0.3">
      <c r="A16" t="s">
        <v>35</v>
      </c>
      <c r="B16" s="4">
        <v>1582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698F-F45C-41E2-9162-66BE2DBFA8C3}">
  <dimension ref="A3:C25"/>
  <sheetViews>
    <sheetView workbookViewId="0">
      <selection activeCell="A4" sqref="A4"/>
    </sheetView>
  </sheetViews>
  <sheetFormatPr defaultRowHeight="14.4" x14ac:dyDescent="0.3"/>
  <cols>
    <col min="1" max="1" width="29.33203125" bestFit="1" customWidth="1"/>
    <col min="2" max="2" width="26.33203125" bestFit="1" customWidth="1"/>
    <col min="3" max="3" width="23.88671875" bestFit="1" customWidth="1"/>
    <col min="4" max="10" width="2.33203125" bestFit="1" customWidth="1"/>
    <col min="11" max="25" width="3.33203125" bestFit="1" customWidth="1"/>
    <col min="26" max="28" width="4.44140625" bestFit="1" customWidth="1"/>
    <col min="29" max="29" width="11.6640625" bestFit="1" customWidth="1"/>
  </cols>
  <sheetData>
    <row r="3" spans="1:3" x14ac:dyDescent="0.3">
      <c r="A3" s="1" t="s">
        <v>0</v>
      </c>
      <c r="B3" s="1" t="s">
        <v>1</v>
      </c>
      <c r="C3" t="s">
        <v>34</v>
      </c>
    </row>
    <row r="4" spans="1:3" x14ac:dyDescent="0.3">
      <c r="A4" t="s">
        <v>27</v>
      </c>
      <c r="B4" t="s">
        <v>15</v>
      </c>
      <c r="C4">
        <v>5</v>
      </c>
    </row>
    <row r="5" spans="1:3" x14ac:dyDescent="0.3">
      <c r="B5" t="s">
        <v>12</v>
      </c>
      <c r="C5">
        <v>248</v>
      </c>
    </row>
    <row r="6" spans="1:3" x14ac:dyDescent="0.3">
      <c r="B6" t="s">
        <v>10</v>
      </c>
      <c r="C6">
        <v>98</v>
      </c>
    </row>
    <row r="7" spans="1:3" x14ac:dyDescent="0.3">
      <c r="B7" t="s">
        <v>18</v>
      </c>
      <c r="C7">
        <v>276</v>
      </c>
    </row>
    <row r="8" spans="1:3" x14ac:dyDescent="0.3">
      <c r="B8" t="s">
        <v>4</v>
      </c>
      <c r="C8">
        <v>93</v>
      </c>
    </row>
    <row r="9" spans="1:3" x14ac:dyDescent="0.3">
      <c r="B9" t="s">
        <v>6</v>
      </c>
      <c r="C9">
        <v>37</v>
      </c>
    </row>
    <row r="10" spans="1:3" x14ac:dyDescent="0.3">
      <c r="B10" t="s">
        <v>5</v>
      </c>
      <c r="C10">
        <v>53</v>
      </c>
    </row>
    <row r="11" spans="1:3" x14ac:dyDescent="0.3">
      <c r="B11" t="s">
        <v>28</v>
      </c>
      <c r="C11">
        <v>379</v>
      </c>
    </row>
    <row r="12" spans="1:3" x14ac:dyDescent="0.3">
      <c r="B12" t="s">
        <v>9</v>
      </c>
      <c r="C12">
        <v>32</v>
      </c>
    </row>
    <row r="13" spans="1:3" x14ac:dyDescent="0.3">
      <c r="A13" t="s">
        <v>36</v>
      </c>
      <c r="C13">
        <v>1221</v>
      </c>
    </row>
    <row r="14" spans="1:3" x14ac:dyDescent="0.3">
      <c r="A14" t="s">
        <v>14</v>
      </c>
      <c r="C14">
        <v>109</v>
      </c>
    </row>
    <row r="15" spans="1:3" x14ac:dyDescent="0.3">
      <c r="A15" t="s">
        <v>19</v>
      </c>
      <c r="C15">
        <v>85</v>
      </c>
    </row>
    <row r="16" spans="1:3" x14ac:dyDescent="0.3">
      <c r="A16" t="s">
        <v>11</v>
      </c>
      <c r="C16">
        <v>56</v>
      </c>
    </row>
    <row r="17" spans="1:3" x14ac:dyDescent="0.3">
      <c r="A17" t="s">
        <v>3</v>
      </c>
      <c r="C17">
        <v>45</v>
      </c>
    </row>
    <row r="18" spans="1:3" x14ac:dyDescent="0.3">
      <c r="A18" t="s">
        <v>17</v>
      </c>
      <c r="C18">
        <v>35</v>
      </c>
    </row>
    <row r="19" spans="1:3" x14ac:dyDescent="0.3">
      <c r="A19" t="s">
        <v>26</v>
      </c>
      <c r="C19">
        <v>16</v>
      </c>
    </row>
    <row r="20" spans="1:3" x14ac:dyDescent="0.3">
      <c r="A20" t="s">
        <v>8</v>
      </c>
      <c r="C20">
        <v>6</v>
      </c>
    </row>
    <row r="21" spans="1:3" x14ac:dyDescent="0.3">
      <c r="A21" t="s">
        <v>25</v>
      </c>
      <c r="C21">
        <v>5</v>
      </c>
    </row>
    <row r="22" spans="1:3" x14ac:dyDescent="0.3">
      <c r="A22" t="s">
        <v>7</v>
      </c>
      <c r="C22">
        <v>2</v>
      </c>
    </row>
    <row r="23" spans="1:3" x14ac:dyDescent="0.3">
      <c r="A23" t="s">
        <v>13</v>
      </c>
      <c r="C23">
        <v>1</v>
      </c>
    </row>
    <row r="24" spans="1:3" x14ac:dyDescent="0.3">
      <c r="A24" t="s">
        <v>16</v>
      </c>
      <c r="C24">
        <v>1</v>
      </c>
    </row>
    <row r="25" spans="1:3" x14ac:dyDescent="0.3">
      <c r="A25" t="s">
        <v>35</v>
      </c>
      <c r="C25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66069-7C0E-4F8D-AC0A-64DB0DDE3A6D}">
  <dimension ref="A3:C21"/>
  <sheetViews>
    <sheetView workbookViewId="0">
      <selection activeCell="G25" sqref="G25"/>
    </sheetView>
  </sheetViews>
  <sheetFormatPr defaultRowHeight="14.4" x14ac:dyDescent="0.3"/>
  <cols>
    <col min="1" max="1" width="29.33203125" bestFit="1" customWidth="1"/>
    <col min="2" max="2" width="19" bestFit="1" customWidth="1"/>
    <col min="3" max="3" width="23.88671875" bestFit="1" customWidth="1"/>
    <col min="4" max="10" width="2.33203125" bestFit="1" customWidth="1"/>
    <col min="11" max="25" width="3.33203125" bestFit="1" customWidth="1"/>
    <col min="26" max="28" width="4.44140625" bestFit="1" customWidth="1"/>
    <col min="29" max="29" width="11.6640625" bestFit="1" customWidth="1"/>
  </cols>
  <sheetData>
    <row r="3" spans="1:3" x14ac:dyDescent="0.3">
      <c r="A3" s="1" t="s">
        <v>1</v>
      </c>
      <c r="B3" s="1" t="s">
        <v>0</v>
      </c>
      <c r="C3" t="s">
        <v>34</v>
      </c>
    </row>
    <row r="4" spans="1:3" x14ac:dyDescent="0.3">
      <c r="A4" t="s">
        <v>15</v>
      </c>
      <c r="B4" t="s">
        <v>14</v>
      </c>
      <c r="C4">
        <v>9</v>
      </c>
    </row>
    <row r="5" spans="1:3" x14ac:dyDescent="0.3">
      <c r="B5" t="s">
        <v>27</v>
      </c>
      <c r="C5">
        <v>5</v>
      </c>
    </row>
    <row r="6" spans="1:3" x14ac:dyDescent="0.3">
      <c r="B6" t="s">
        <v>26</v>
      </c>
      <c r="C6">
        <v>1</v>
      </c>
    </row>
    <row r="7" spans="1:3" x14ac:dyDescent="0.3">
      <c r="A7" t="s">
        <v>37</v>
      </c>
      <c r="C7">
        <v>15</v>
      </c>
    </row>
    <row r="8" spans="1:3" x14ac:dyDescent="0.3">
      <c r="A8" t="s">
        <v>12</v>
      </c>
      <c r="C8">
        <v>290</v>
      </c>
    </row>
    <row r="9" spans="1:3" x14ac:dyDescent="0.3">
      <c r="A9" t="s">
        <v>10</v>
      </c>
      <c r="C9">
        <v>100</v>
      </c>
    </row>
    <row r="10" spans="1:3" x14ac:dyDescent="0.3">
      <c r="A10" t="s">
        <v>18</v>
      </c>
      <c r="C10">
        <v>283</v>
      </c>
    </row>
    <row r="11" spans="1:3" x14ac:dyDescent="0.3">
      <c r="A11" t="s">
        <v>4</v>
      </c>
      <c r="C11">
        <v>150</v>
      </c>
    </row>
    <row r="12" spans="1:3" x14ac:dyDescent="0.3">
      <c r="A12" t="s">
        <v>22</v>
      </c>
      <c r="C12">
        <v>4</v>
      </c>
    </row>
    <row r="13" spans="1:3" x14ac:dyDescent="0.3">
      <c r="A13" t="s">
        <v>24</v>
      </c>
      <c r="C13">
        <v>1</v>
      </c>
    </row>
    <row r="14" spans="1:3" x14ac:dyDescent="0.3">
      <c r="A14" t="s">
        <v>23</v>
      </c>
      <c r="C14">
        <v>47</v>
      </c>
    </row>
    <row r="15" spans="1:3" x14ac:dyDescent="0.3">
      <c r="A15" t="s">
        <v>20</v>
      </c>
      <c r="C15">
        <v>20</v>
      </c>
    </row>
    <row r="16" spans="1:3" x14ac:dyDescent="0.3">
      <c r="A16" t="s">
        <v>21</v>
      </c>
      <c r="C16">
        <v>8</v>
      </c>
    </row>
    <row r="17" spans="1:3" x14ac:dyDescent="0.3">
      <c r="A17" t="s">
        <v>6</v>
      </c>
      <c r="C17">
        <v>130</v>
      </c>
    </row>
    <row r="18" spans="1:3" x14ac:dyDescent="0.3">
      <c r="A18" t="s">
        <v>5</v>
      </c>
      <c r="C18">
        <v>90</v>
      </c>
    </row>
    <row r="19" spans="1:3" x14ac:dyDescent="0.3">
      <c r="A19" t="s">
        <v>28</v>
      </c>
      <c r="C19">
        <v>379</v>
      </c>
    </row>
    <row r="20" spans="1:3" x14ac:dyDescent="0.3">
      <c r="A20" t="s">
        <v>9</v>
      </c>
      <c r="C20">
        <v>65</v>
      </c>
    </row>
    <row r="21" spans="1:3" x14ac:dyDescent="0.3">
      <c r="A21" t="s">
        <v>35</v>
      </c>
      <c r="C21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 pappala</cp:lastModifiedBy>
  <cp:revision/>
  <dcterms:created xsi:type="dcterms:W3CDTF">2020-09-01T17:18:12Z</dcterms:created>
  <dcterms:modified xsi:type="dcterms:W3CDTF">2026-08-15T07:17:42Z</dcterms:modified>
  <cp:category/>
  <cp:contentStatus/>
</cp:coreProperties>
</file>